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#DIV0!" sheetId="1" r:id="rId5"/>
    <sheet state="visible" name="#ERROR!" sheetId="2" r:id="rId6"/>
    <sheet state="visible" name="#NA" sheetId="3" r:id="rId7"/>
    <sheet state="visible" name="#NAME" sheetId="4" r:id="rId8"/>
    <sheet state="visible" name="#NUM!" sheetId="5" r:id="rId9"/>
    <sheet state="visible" name="#VALUE!" sheetId="6" r:id="rId10"/>
    <sheet state="visible" name="#REF!" sheetId="7" r:id="rId11"/>
  </sheets>
  <definedNames/>
  <calcPr/>
</workbook>
</file>

<file path=xl/sharedStrings.xml><?xml version="1.0" encoding="utf-8"?>
<sst xmlns="http://schemas.openxmlformats.org/spreadsheetml/2006/main" count="193" uniqueCount="59">
  <si>
    <t>Total # of tasks</t>
  </si>
  <si>
    <t>Required Tasks</t>
  </si>
  <si>
    <t>Tasks Completed</t>
  </si>
  <si>
    <t>% Complete</t>
  </si>
  <si>
    <t>README FIRST</t>
  </si>
  <si>
    <t>If you are using this spreadsheet to follow along with the video,</t>
  </si>
  <si>
    <t xml:space="preserve">you will need to advance to the next worksheet each time the </t>
  </si>
  <si>
    <t>instructor introduces a new error. Click the tabs at the bottom to</t>
  </si>
  <si>
    <t>view the other worksheets. You are currently in the #DIV/0! tab.</t>
  </si>
  <si>
    <t>Total # of Tasks</t>
  </si>
  <si>
    <t>Tasks Not Required</t>
  </si>
  <si>
    <t>Price Table</t>
  </si>
  <si>
    <t>Nuts</t>
  </si>
  <si>
    <t>Prices ($)</t>
  </si>
  <si>
    <t>Almonds</t>
  </si>
  <si>
    <t>Baru Nuts</t>
  </si>
  <si>
    <t>Brazil Nuts</t>
  </si>
  <si>
    <t>Cashews</t>
  </si>
  <si>
    <t>Chestnuts</t>
  </si>
  <si>
    <t>Hazelnuts</t>
  </si>
  <si>
    <t>Hickory Nuts</t>
  </si>
  <si>
    <t>Macademia Nuts</t>
  </si>
  <si>
    <t>Peanuts</t>
  </si>
  <si>
    <t>Pecans</t>
  </si>
  <si>
    <t>Pili Nuts</t>
  </si>
  <si>
    <t>Pine</t>
  </si>
  <si>
    <t>Pistachios</t>
  </si>
  <si>
    <t>Sacha Inchi Nuts</t>
  </si>
  <si>
    <t>Tiger Nuts</t>
  </si>
  <si>
    <t>Walnuts</t>
  </si>
  <si>
    <t>Store #55</t>
  </si>
  <si>
    <t xml:space="preserve">Prices ($) </t>
  </si>
  <si>
    <t>5% Markup</t>
  </si>
  <si>
    <t>Store #86</t>
  </si>
  <si>
    <t>10% Markup</t>
  </si>
  <si>
    <t>Store #45</t>
  </si>
  <si>
    <t>Store #60</t>
  </si>
  <si>
    <t>Almond</t>
  </si>
  <si>
    <t>Major Milestone</t>
  </si>
  <si>
    <t>Start Date</t>
  </si>
  <si>
    <t>End Date</t>
  </si>
  <si>
    <t>Months to Complete</t>
  </si>
  <si>
    <t>Securing funding</t>
  </si>
  <si>
    <t>Acquiring site</t>
  </si>
  <si>
    <t>Hiring consultants</t>
  </si>
  <si>
    <t>Completing design</t>
  </si>
  <si>
    <t>Gaining client approval</t>
  </si>
  <si>
    <t>Securing permits</t>
  </si>
  <si>
    <t>Finalizing contract</t>
  </si>
  <si>
    <t>Selecting contractor</t>
  </si>
  <si>
    <t>Handing off site</t>
  </si>
  <si>
    <t>Compleitng construction</t>
  </si>
  <si>
    <t>Fixing defects</t>
  </si>
  <si>
    <t xml:space="preserve"> </t>
  </si>
  <si>
    <t>Table Location</t>
  </si>
  <si>
    <t>Seats Available</t>
  </si>
  <si>
    <t>Main Room</t>
  </si>
  <si>
    <t>Patio</t>
  </si>
  <si>
    <t>Total Available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</si>
</sst>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1F1F1F"/>
      <name val="Arial"/>
    </font>
    <font>
      <b/>
      <color rgb="FFFF0000"/>
      <name val="Arial"/>
    </font>
    <font>
      <color theme="1"/>
      <name val="Arial"/>
    </font>
    <font>
      <b/>
      <color theme="1"/>
      <name val="Arial"/>
    </font>
    <font>
      <sz val="11.0"/>
      <color rgb="FF1F1F1F"/>
      <name val="OpenSans-Bol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3" numFmtId="10" xfId="0" applyAlignment="1" applyFill="1" applyFont="1" applyNumberFormat="1">
      <alignment horizontal="right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0" fillId="0" fontId="6" numFmtId="0" xfId="0" applyAlignment="1" applyFont="1">
      <alignment shrinkToFit="0" vertical="bottom" wrapText="0"/>
    </xf>
    <xf borderId="4" fillId="0" fontId="6" numFmtId="0" xfId="0" applyAlignment="1" applyBorder="1" applyFont="1">
      <alignment shrinkToFit="0" vertical="bottom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6" fillId="0" fontId="6" numFmtId="0" xfId="0" applyAlignment="1" applyBorder="1" applyFont="1">
      <alignment shrinkToFit="0" vertical="bottom" wrapText="0"/>
    </xf>
    <xf borderId="7" fillId="0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0" fillId="0" fontId="1" numFmtId="0" xfId="0" applyAlignment="1" applyFont="1">
      <alignment readingOrder="0"/>
    </xf>
    <xf borderId="0" fillId="2" fontId="7" numFmtId="0" xfId="0" applyFont="1"/>
    <xf borderId="0" fillId="0" fontId="2" numFmtId="164" xfId="0" applyFont="1" applyNumberFormat="1"/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2" fontId="7" numFmtId="164" xfId="0" applyFont="1" applyNumberFormat="1"/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horizontal="right" readingOrder="0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75"/>
    <col customWidth="1" min="3" max="3" width="14.38"/>
    <col customWidth="1" min="4" max="4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f>SUM(B2:B6,C2:C6)</f>
        <v>20</v>
      </c>
      <c r="B2" s="2">
        <v>3.0</v>
      </c>
      <c r="C2" s="2">
        <v>1.0</v>
      </c>
      <c r="D2" s="3">
        <f t="shared" ref="D2:D3" si="1">C2/B2</f>
        <v>0.3333333333</v>
      </c>
    </row>
    <row r="3">
      <c r="A3" s="2"/>
      <c r="B3" s="2">
        <v>2.0</v>
      </c>
      <c r="C3" s="2">
        <v>2.0</v>
      </c>
      <c r="D3" s="3">
        <f t="shared" si="1"/>
        <v>1</v>
      </c>
    </row>
    <row r="4">
      <c r="A4" s="2"/>
      <c r="B4" s="2">
        <v>0.0</v>
      </c>
      <c r="C4" s="2">
        <v>0.0</v>
      </c>
      <c r="D4" s="3" t="str">
        <f>IFERROR(C4/B4, "Not Applicable")</f>
        <v>Not Applicable</v>
      </c>
    </row>
    <row r="5">
      <c r="A5" s="2"/>
      <c r="B5" s="2">
        <v>3.0</v>
      </c>
      <c r="C5" s="2">
        <v>2.0</v>
      </c>
      <c r="D5" s="3">
        <f t="shared" ref="D5:D6" si="2">C5/B5</f>
        <v>0.6666666667</v>
      </c>
    </row>
    <row r="6">
      <c r="A6" s="2"/>
      <c r="B6" s="2">
        <v>5.0</v>
      </c>
      <c r="C6" s="2">
        <v>2.0</v>
      </c>
      <c r="D6" s="3">
        <f t="shared" si="2"/>
        <v>0.4</v>
      </c>
    </row>
    <row r="8">
      <c r="A8" s="4"/>
      <c r="B8" s="5" t="s">
        <v>4</v>
      </c>
      <c r="C8" s="6"/>
      <c r="D8" s="6"/>
      <c r="E8" s="7"/>
    </row>
    <row r="9">
      <c r="A9" s="8"/>
      <c r="B9" s="9" t="s">
        <v>5</v>
      </c>
      <c r="C9" s="10"/>
      <c r="D9" s="10"/>
      <c r="E9" s="11"/>
    </row>
    <row r="10">
      <c r="A10" s="8"/>
      <c r="B10" s="9" t="s">
        <v>6</v>
      </c>
      <c r="C10" s="10"/>
      <c r="D10" s="10"/>
      <c r="E10" s="11"/>
    </row>
    <row r="11">
      <c r="A11" s="8"/>
      <c r="B11" s="9" t="s">
        <v>7</v>
      </c>
      <c r="C11" s="10"/>
      <c r="D11" s="10"/>
      <c r="E11" s="11"/>
    </row>
    <row r="12">
      <c r="A12" s="8"/>
      <c r="B12" s="12" t="s">
        <v>8</v>
      </c>
      <c r="C12" s="13"/>
      <c r="D12" s="13"/>
      <c r="E12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6.88"/>
    <col customWidth="1" min="3" max="3" width="14.75"/>
    <col customWidth="1" min="4" max="4" width="15.0"/>
  </cols>
  <sheetData>
    <row r="1">
      <c r="A1" s="15" t="s">
        <v>9</v>
      </c>
      <c r="B1" s="15" t="s">
        <v>10</v>
      </c>
      <c r="C1" s="1" t="s">
        <v>1</v>
      </c>
      <c r="D1" s="1" t="s">
        <v>2</v>
      </c>
      <c r="E1" s="1" t="s">
        <v>3</v>
      </c>
    </row>
    <row r="2">
      <c r="A2" s="16" t="str">
        <f>SUM(B2:B6 C2:C6)</f>
        <v>#ERROR!</v>
      </c>
      <c r="B2" s="2">
        <v>5.0</v>
      </c>
      <c r="C2" s="2">
        <v>3.0</v>
      </c>
      <c r="D2" s="2">
        <v>1.0</v>
      </c>
      <c r="E2" s="3">
        <f t="shared" ref="E2:E3" si="1">IF(C2, D2/C2, " ")</f>
        <v>0.3333333333</v>
      </c>
    </row>
    <row r="3">
      <c r="B3" s="2">
        <v>3.0</v>
      </c>
      <c r="C3" s="2">
        <v>2.0</v>
      </c>
      <c r="D3" s="2">
        <v>2.0</v>
      </c>
      <c r="E3" s="3">
        <f t="shared" si="1"/>
        <v>1</v>
      </c>
    </row>
    <row r="4">
      <c r="B4" s="2">
        <v>1.0</v>
      </c>
      <c r="C4" s="2">
        <v>0.0</v>
      </c>
      <c r="D4" s="2">
        <v>0.0</v>
      </c>
      <c r="E4" s="3" t="str">
        <f>IFERROR(D4/C4, "Not applicable")</f>
        <v>Not applicable</v>
      </c>
    </row>
    <row r="5">
      <c r="B5" s="2">
        <v>2.0</v>
      </c>
      <c r="C5" s="2">
        <v>3.0</v>
      </c>
      <c r="D5" s="2">
        <v>2.0</v>
      </c>
      <c r="E5" s="3">
        <f t="shared" ref="E5:E6" si="2">IF(C5, D5/C5, " ")</f>
        <v>0.6666666667</v>
      </c>
    </row>
    <row r="6">
      <c r="B6" s="2">
        <v>1.0</v>
      </c>
      <c r="C6" s="2">
        <v>5.0</v>
      </c>
      <c r="D6" s="2">
        <v>2.0</v>
      </c>
      <c r="E6" s="3">
        <f t="shared" si="2"/>
        <v>0.4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4.38"/>
    <col customWidth="1" min="3" max="3" width="16.38"/>
  </cols>
  <sheetData>
    <row r="1">
      <c r="A1" s="15" t="s">
        <v>11</v>
      </c>
      <c r="B1" s="17"/>
    </row>
    <row r="2">
      <c r="A2" s="15" t="s">
        <v>12</v>
      </c>
      <c r="B2" s="18" t="s">
        <v>13</v>
      </c>
    </row>
    <row r="3">
      <c r="A3" s="2" t="s">
        <v>14</v>
      </c>
      <c r="B3" s="19">
        <v>9.99</v>
      </c>
    </row>
    <row r="4">
      <c r="A4" s="2" t="s">
        <v>15</v>
      </c>
      <c r="B4" s="19">
        <v>11.95</v>
      </c>
    </row>
    <row r="5">
      <c r="A5" s="2" t="s">
        <v>16</v>
      </c>
      <c r="B5" s="19">
        <v>7.99</v>
      </c>
    </row>
    <row r="6">
      <c r="A6" s="2" t="s">
        <v>17</v>
      </c>
      <c r="B6" s="19">
        <v>9.89</v>
      </c>
    </row>
    <row r="7">
      <c r="A7" s="2" t="s">
        <v>18</v>
      </c>
      <c r="B7" s="19">
        <v>3.99</v>
      </c>
    </row>
    <row r="8">
      <c r="A8" s="2" t="s">
        <v>19</v>
      </c>
      <c r="B8" s="19">
        <v>7.19</v>
      </c>
    </row>
    <row r="9">
      <c r="A9" s="2" t="s">
        <v>20</v>
      </c>
      <c r="B9" s="19">
        <v>24.99</v>
      </c>
    </row>
    <row r="10">
      <c r="A10" s="2" t="s">
        <v>21</v>
      </c>
      <c r="B10" s="19">
        <v>24.5</v>
      </c>
    </row>
    <row r="11">
      <c r="A11" s="2" t="s">
        <v>22</v>
      </c>
      <c r="B11" s="19">
        <v>8.99</v>
      </c>
    </row>
    <row r="12">
      <c r="A12" s="2" t="s">
        <v>23</v>
      </c>
      <c r="B12" s="19">
        <v>11.59</v>
      </c>
    </row>
    <row r="13">
      <c r="A13" s="2" t="s">
        <v>24</v>
      </c>
      <c r="B13" s="19">
        <v>11.95</v>
      </c>
    </row>
    <row r="14">
      <c r="A14" s="2" t="s">
        <v>25</v>
      </c>
      <c r="B14" s="19">
        <v>28.14</v>
      </c>
    </row>
    <row r="15">
      <c r="A15" s="2" t="s">
        <v>26</v>
      </c>
      <c r="B15" s="19">
        <v>20.99</v>
      </c>
    </row>
    <row r="16">
      <c r="A16" s="2" t="s">
        <v>27</v>
      </c>
      <c r="B16" s="19">
        <v>19.99</v>
      </c>
    </row>
    <row r="17">
      <c r="A17" s="2" t="s">
        <v>28</v>
      </c>
      <c r="B17" s="19">
        <v>12.99</v>
      </c>
    </row>
    <row r="18">
      <c r="A18" s="2" t="s">
        <v>29</v>
      </c>
      <c r="B18" s="19">
        <v>14.49</v>
      </c>
    </row>
    <row r="19">
      <c r="B19" s="17"/>
    </row>
    <row r="20">
      <c r="A20" s="15" t="s">
        <v>30</v>
      </c>
      <c r="B20" s="18" t="s">
        <v>31</v>
      </c>
      <c r="C20" s="15" t="s">
        <v>32</v>
      </c>
    </row>
    <row r="21">
      <c r="A21" s="2" t="s">
        <v>14</v>
      </c>
      <c r="B21" s="20">
        <f t="shared" ref="B21:B27" si="1">VLOOKUP(A21, $A$3:$B$18, 2, 0)</f>
        <v>9.99</v>
      </c>
      <c r="C21" s="17">
        <f t="shared" ref="C21:C27" si="2">B21+(0.05*B21)</f>
        <v>10.4895</v>
      </c>
    </row>
    <row r="22">
      <c r="A22" s="2" t="s">
        <v>17</v>
      </c>
      <c r="B22" s="20">
        <f t="shared" si="1"/>
        <v>9.89</v>
      </c>
      <c r="C22" s="17">
        <f t="shared" si="2"/>
        <v>10.3845</v>
      </c>
    </row>
    <row r="23">
      <c r="A23" s="2" t="s">
        <v>21</v>
      </c>
      <c r="B23" s="20">
        <f t="shared" si="1"/>
        <v>24.5</v>
      </c>
      <c r="C23" s="17">
        <f t="shared" si="2"/>
        <v>25.725</v>
      </c>
    </row>
    <row r="24">
      <c r="A24" s="2" t="s">
        <v>22</v>
      </c>
      <c r="B24" s="20">
        <f t="shared" si="1"/>
        <v>8.99</v>
      </c>
      <c r="C24" s="17">
        <f t="shared" si="2"/>
        <v>9.4395</v>
      </c>
    </row>
    <row r="25">
      <c r="A25" s="2" t="s">
        <v>23</v>
      </c>
      <c r="B25" s="20">
        <f t="shared" si="1"/>
        <v>11.59</v>
      </c>
      <c r="C25" s="17">
        <f t="shared" si="2"/>
        <v>12.1695</v>
      </c>
    </row>
    <row r="26">
      <c r="A26" s="2" t="s">
        <v>25</v>
      </c>
      <c r="B26" s="20">
        <f t="shared" si="1"/>
        <v>28.14</v>
      </c>
      <c r="C26" s="17">
        <f t="shared" si="2"/>
        <v>29.547</v>
      </c>
    </row>
    <row r="27">
      <c r="A27" s="2" t="s">
        <v>29</v>
      </c>
      <c r="B27" s="20">
        <f t="shared" si="1"/>
        <v>14.49</v>
      </c>
      <c r="C27" s="17">
        <f t="shared" si="2"/>
        <v>15.2145</v>
      </c>
    </row>
    <row r="28">
      <c r="B28" s="17"/>
    </row>
    <row r="29">
      <c r="A29" s="15" t="s">
        <v>33</v>
      </c>
      <c r="B29" s="18" t="s">
        <v>31</v>
      </c>
      <c r="C29" s="15" t="s">
        <v>34</v>
      </c>
    </row>
    <row r="30">
      <c r="A30" s="2" t="s">
        <v>15</v>
      </c>
      <c r="B30" s="20">
        <f t="shared" ref="B30:B38" si="3">VLOOKUP(A30, $A$3:$B$18, 2, 0)</f>
        <v>11.95</v>
      </c>
      <c r="C30" s="17">
        <f t="shared" ref="C30:C38" si="4">B30+(0.1*B30)</f>
        <v>13.145</v>
      </c>
    </row>
    <row r="31">
      <c r="A31" s="2" t="s">
        <v>16</v>
      </c>
      <c r="B31" s="20">
        <f t="shared" si="3"/>
        <v>7.99</v>
      </c>
      <c r="C31" s="17">
        <f t="shared" si="4"/>
        <v>8.789</v>
      </c>
    </row>
    <row r="32">
      <c r="A32" s="2" t="s">
        <v>18</v>
      </c>
      <c r="B32" s="20">
        <f t="shared" si="3"/>
        <v>3.99</v>
      </c>
      <c r="C32" s="17">
        <f t="shared" si="4"/>
        <v>4.389</v>
      </c>
    </row>
    <row r="33">
      <c r="A33" s="2" t="s">
        <v>19</v>
      </c>
      <c r="B33" s="20">
        <f t="shared" si="3"/>
        <v>7.19</v>
      </c>
      <c r="C33" s="17">
        <f t="shared" si="4"/>
        <v>7.909</v>
      </c>
    </row>
    <row r="34">
      <c r="A34" s="2" t="s">
        <v>20</v>
      </c>
      <c r="B34" s="20">
        <f t="shared" si="3"/>
        <v>24.99</v>
      </c>
      <c r="C34" s="17">
        <f t="shared" si="4"/>
        <v>27.489</v>
      </c>
    </row>
    <row r="35">
      <c r="A35" s="2" t="s">
        <v>24</v>
      </c>
      <c r="B35" s="20">
        <f t="shared" si="3"/>
        <v>11.95</v>
      </c>
      <c r="C35" s="17">
        <f t="shared" si="4"/>
        <v>13.145</v>
      </c>
    </row>
    <row r="36">
      <c r="A36" s="2" t="s">
        <v>26</v>
      </c>
      <c r="B36" s="20">
        <f t="shared" si="3"/>
        <v>20.99</v>
      </c>
      <c r="C36" s="17">
        <f t="shared" si="4"/>
        <v>23.089</v>
      </c>
    </row>
    <row r="37">
      <c r="A37" s="2" t="s">
        <v>27</v>
      </c>
      <c r="B37" s="20">
        <f t="shared" si="3"/>
        <v>19.99</v>
      </c>
      <c r="C37" s="17">
        <f t="shared" si="4"/>
        <v>21.989</v>
      </c>
    </row>
    <row r="38">
      <c r="A38" s="2" t="s">
        <v>28</v>
      </c>
      <c r="B38" s="20">
        <f t="shared" si="3"/>
        <v>12.99</v>
      </c>
      <c r="C38" s="17">
        <f t="shared" si="4"/>
        <v>14.289</v>
      </c>
    </row>
    <row r="39">
      <c r="B39" s="17"/>
    </row>
    <row r="40">
      <c r="A40" s="15" t="s">
        <v>35</v>
      </c>
      <c r="B40" s="18" t="s">
        <v>31</v>
      </c>
      <c r="C40" s="15" t="s">
        <v>34</v>
      </c>
    </row>
    <row r="41">
      <c r="A41" s="10" t="s">
        <v>14</v>
      </c>
      <c r="B41" s="20">
        <f t="shared" ref="B41:B46" si="5">VLOOKUP(A41, $A$3:$B$18, 2, 0)</f>
        <v>9.99</v>
      </c>
      <c r="C41" s="17">
        <f t="shared" ref="C41:C46" si="6">B41+(0.1*B41)</f>
        <v>10.989</v>
      </c>
    </row>
    <row r="42">
      <c r="A42" s="10" t="s">
        <v>15</v>
      </c>
      <c r="B42" s="20">
        <f t="shared" si="5"/>
        <v>11.95</v>
      </c>
      <c r="C42" s="17">
        <f t="shared" si="6"/>
        <v>13.145</v>
      </c>
    </row>
    <row r="43">
      <c r="A43" s="10" t="s">
        <v>19</v>
      </c>
      <c r="B43" s="20">
        <f t="shared" si="5"/>
        <v>7.19</v>
      </c>
      <c r="C43" s="17">
        <f t="shared" si="6"/>
        <v>7.909</v>
      </c>
    </row>
    <row r="44">
      <c r="A44" s="10" t="s">
        <v>21</v>
      </c>
      <c r="B44" s="20">
        <f t="shared" si="5"/>
        <v>24.5</v>
      </c>
      <c r="C44" s="17">
        <f t="shared" si="6"/>
        <v>26.95</v>
      </c>
    </row>
    <row r="45">
      <c r="A45" s="10" t="s">
        <v>22</v>
      </c>
      <c r="B45" s="20">
        <f t="shared" si="5"/>
        <v>8.99</v>
      </c>
      <c r="C45" s="17">
        <f t="shared" si="6"/>
        <v>9.889</v>
      </c>
    </row>
    <row r="46">
      <c r="A46" s="10" t="s">
        <v>28</v>
      </c>
      <c r="B46" s="20">
        <f t="shared" si="5"/>
        <v>12.99</v>
      </c>
      <c r="C46" s="17">
        <f t="shared" si="6"/>
        <v>14.289</v>
      </c>
    </row>
    <row r="47">
      <c r="B47" s="17"/>
    </row>
    <row r="48">
      <c r="A48" s="15" t="s">
        <v>36</v>
      </c>
      <c r="B48" s="18" t="s">
        <v>31</v>
      </c>
      <c r="C48" s="15" t="s">
        <v>32</v>
      </c>
    </row>
    <row r="49">
      <c r="A49" s="2" t="s">
        <v>37</v>
      </c>
      <c r="B49" s="20" t="str">
        <f t="shared" ref="B49:B64" si="7">VLOOKUP(A49, $A$3:$B$18, 2, 0)</f>
        <v>#N/A</v>
      </c>
      <c r="C49" s="21" t="str">
        <f t="shared" ref="C49:C64" si="8">B49+(0.05*B49)</f>
        <v>#N/A</v>
      </c>
    </row>
    <row r="50">
      <c r="A50" s="2" t="s">
        <v>15</v>
      </c>
      <c r="B50" s="20">
        <f t="shared" si="7"/>
        <v>11.95</v>
      </c>
      <c r="C50" s="17">
        <f t="shared" si="8"/>
        <v>12.5475</v>
      </c>
    </row>
    <row r="51">
      <c r="A51" s="2" t="s">
        <v>16</v>
      </c>
      <c r="B51" s="20">
        <f t="shared" si="7"/>
        <v>7.99</v>
      </c>
      <c r="C51" s="17">
        <f t="shared" si="8"/>
        <v>8.3895</v>
      </c>
    </row>
    <row r="52">
      <c r="A52" s="2" t="s">
        <v>17</v>
      </c>
      <c r="B52" s="20">
        <f t="shared" si="7"/>
        <v>9.89</v>
      </c>
      <c r="C52" s="17">
        <f t="shared" si="8"/>
        <v>10.3845</v>
      </c>
    </row>
    <row r="53">
      <c r="A53" s="2" t="s">
        <v>18</v>
      </c>
      <c r="B53" s="20">
        <f t="shared" si="7"/>
        <v>3.99</v>
      </c>
      <c r="C53" s="17">
        <f t="shared" si="8"/>
        <v>4.1895</v>
      </c>
    </row>
    <row r="54">
      <c r="A54" s="2" t="s">
        <v>19</v>
      </c>
      <c r="B54" s="20">
        <f t="shared" si="7"/>
        <v>7.19</v>
      </c>
      <c r="C54" s="17">
        <f t="shared" si="8"/>
        <v>7.5495</v>
      </c>
    </row>
    <row r="55">
      <c r="A55" s="2" t="s">
        <v>20</v>
      </c>
      <c r="B55" s="20">
        <f t="shared" si="7"/>
        <v>24.99</v>
      </c>
      <c r="C55" s="17">
        <f t="shared" si="8"/>
        <v>26.2395</v>
      </c>
    </row>
    <row r="56">
      <c r="A56" s="2" t="s">
        <v>21</v>
      </c>
      <c r="B56" s="20">
        <f t="shared" si="7"/>
        <v>24.5</v>
      </c>
      <c r="C56" s="17">
        <f t="shared" si="8"/>
        <v>25.725</v>
      </c>
    </row>
    <row r="57">
      <c r="A57" s="2" t="s">
        <v>22</v>
      </c>
      <c r="B57" s="20">
        <f t="shared" si="7"/>
        <v>8.99</v>
      </c>
      <c r="C57" s="17">
        <f t="shared" si="8"/>
        <v>9.4395</v>
      </c>
    </row>
    <row r="58">
      <c r="A58" s="2" t="s">
        <v>23</v>
      </c>
      <c r="B58" s="20">
        <f t="shared" si="7"/>
        <v>11.59</v>
      </c>
      <c r="C58" s="17">
        <f t="shared" si="8"/>
        <v>12.1695</v>
      </c>
    </row>
    <row r="59">
      <c r="A59" s="2" t="s">
        <v>24</v>
      </c>
      <c r="B59" s="20">
        <f t="shared" si="7"/>
        <v>11.95</v>
      </c>
      <c r="C59" s="17">
        <f t="shared" si="8"/>
        <v>12.5475</v>
      </c>
    </row>
    <row r="60">
      <c r="A60" s="2" t="s">
        <v>25</v>
      </c>
      <c r="B60" s="20">
        <f t="shared" si="7"/>
        <v>28.14</v>
      </c>
      <c r="C60" s="17">
        <f t="shared" si="8"/>
        <v>29.547</v>
      </c>
    </row>
    <row r="61">
      <c r="A61" s="2" t="s">
        <v>26</v>
      </c>
      <c r="B61" s="20">
        <f t="shared" si="7"/>
        <v>20.99</v>
      </c>
      <c r="C61" s="17">
        <f t="shared" si="8"/>
        <v>22.0395</v>
      </c>
    </row>
    <row r="62">
      <c r="A62" s="2" t="s">
        <v>27</v>
      </c>
      <c r="B62" s="20">
        <f t="shared" si="7"/>
        <v>19.99</v>
      </c>
      <c r="C62" s="17">
        <f t="shared" si="8"/>
        <v>20.9895</v>
      </c>
    </row>
    <row r="63">
      <c r="A63" s="2" t="s">
        <v>28</v>
      </c>
      <c r="B63" s="20">
        <f t="shared" si="7"/>
        <v>12.99</v>
      </c>
      <c r="C63" s="17">
        <f t="shared" si="8"/>
        <v>13.6395</v>
      </c>
    </row>
    <row r="64">
      <c r="A64" s="2" t="s">
        <v>29</v>
      </c>
      <c r="B64" s="20">
        <f t="shared" si="7"/>
        <v>14.49</v>
      </c>
      <c r="C64" s="17">
        <f t="shared" si="8"/>
        <v>15.2145</v>
      </c>
    </row>
    <row r="65">
      <c r="B65" s="17"/>
    </row>
    <row r="66">
      <c r="B66" s="17"/>
    </row>
    <row r="67">
      <c r="B67" s="17"/>
    </row>
    <row r="68">
      <c r="B68" s="17"/>
    </row>
    <row r="69">
      <c r="B69" s="17"/>
    </row>
    <row r="70">
      <c r="B70" s="17"/>
    </row>
    <row r="71">
      <c r="B71" s="17"/>
    </row>
    <row r="72">
      <c r="B72" s="17"/>
    </row>
    <row r="73">
      <c r="B73" s="17"/>
    </row>
    <row r="74">
      <c r="B74" s="17"/>
    </row>
    <row r="75">
      <c r="B75" s="17"/>
    </row>
    <row r="76">
      <c r="B76" s="17"/>
    </row>
    <row r="77">
      <c r="B77" s="17"/>
    </row>
    <row r="78">
      <c r="B78" s="17"/>
    </row>
    <row r="79">
      <c r="B79" s="17"/>
    </row>
    <row r="80">
      <c r="B80" s="17"/>
    </row>
    <row r="81">
      <c r="B81" s="17"/>
    </row>
    <row r="82">
      <c r="B82" s="17"/>
    </row>
    <row r="83">
      <c r="B83" s="17"/>
    </row>
    <row r="84">
      <c r="B84" s="17"/>
    </row>
    <row r="85">
      <c r="B85" s="17"/>
    </row>
    <row r="86">
      <c r="B86" s="17"/>
    </row>
    <row r="87">
      <c r="B87" s="17"/>
    </row>
    <row r="88">
      <c r="B88" s="17"/>
    </row>
    <row r="89">
      <c r="B89" s="17"/>
    </row>
    <row r="90">
      <c r="B90" s="17"/>
    </row>
    <row r="91">
      <c r="B91" s="17"/>
    </row>
    <row r="92">
      <c r="B92" s="17"/>
    </row>
    <row r="93">
      <c r="B93" s="17"/>
    </row>
    <row r="94">
      <c r="B94" s="17"/>
    </row>
    <row r="95">
      <c r="B95" s="17"/>
    </row>
    <row r="96">
      <c r="B96" s="17"/>
    </row>
    <row r="97">
      <c r="B97" s="17"/>
    </row>
    <row r="98">
      <c r="B98" s="17"/>
    </row>
    <row r="99">
      <c r="B99" s="17"/>
    </row>
    <row r="100">
      <c r="B100" s="17"/>
    </row>
    <row r="101">
      <c r="B101" s="17"/>
    </row>
    <row r="102">
      <c r="B102" s="17"/>
    </row>
    <row r="103">
      <c r="B103" s="17"/>
    </row>
    <row r="104">
      <c r="B104" s="17"/>
    </row>
    <row r="105">
      <c r="B105" s="17"/>
    </row>
    <row r="106">
      <c r="B106" s="17"/>
    </row>
    <row r="107">
      <c r="B107" s="17"/>
    </row>
    <row r="108">
      <c r="B108" s="17"/>
    </row>
    <row r="109">
      <c r="B109" s="17"/>
    </row>
    <row r="110">
      <c r="B110" s="17"/>
    </row>
    <row r="111">
      <c r="B111" s="17"/>
    </row>
    <row r="112">
      <c r="B112" s="17"/>
    </row>
    <row r="113">
      <c r="B113" s="17"/>
    </row>
    <row r="114">
      <c r="B114" s="17"/>
    </row>
    <row r="115">
      <c r="B115" s="17"/>
    </row>
    <row r="116">
      <c r="B116" s="17"/>
    </row>
    <row r="117">
      <c r="B117" s="17"/>
    </row>
    <row r="118">
      <c r="B118" s="17"/>
    </row>
    <row r="119"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7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  <row r="940">
      <c r="B940" s="17"/>
    </row>
    <row r="941">
      <c r="B941" s="17"/>
    </row>
    <row r="942">
      <c r="B942" s="17"/>
    </row>
    <row r="943">
      <c r="B943" s="17"/>
    </row>
    <row r="944">
      <c r="B944" s="17"/>
    </row>
    <row r="945">
      <c r="B945" s="17"/>
    </row>
    <row r="946">
      <c r="B946" s="17"/>
    </row>
    <row r="947">
      <c r="B947" s="17"/>
    </row>
    <row r="948">
      <c r="B948" s="17"/>
    </row>
    <row r="949">
      <c r="B949" s="17"/>
    </row>
    <row r="950">
      <c r="B950" s="17"/>
    </row>
    <row r="951">
      <c r="B951" s="17"/>
    </row>
    <row r="952">
      <c r="B952" s="17"/>
    </row>
    <row r="953">
      <c r="B953" s="17"/>
    </row>
    <row r="954">
      <c r="B954" s="17"/>
    </row>
    <row r="955">
      <c r="B955" s="17"/>
    </row>
    <row r="956">
      <c r="B956" s="17"/>
    </row>
    <row r="957">
      <c r="B957" s="17"/>
    </row>
    <row r="958">
      <c r="B958" s="17"/>
    </row>
    <row r="959">
      <c r="B959" s="17"/>
    </row>
    <row r="960">
      <c r="B960" s="17"/>
    </row>
    <row r="961">
      <c r="B961" s="17"/>
    </row>
    <row r="962">
      <c r="B962" s="17"/>
    </row>
    <row r="963">
      <c r="B963" s="17"/>
    </row>
    <row r="964">
      <c r="B964" s="17"/>
    </row>
    <row r="965">
      <c r="B965" s="17"/>
    </row>
    <row r="966">
      <c r="B966" s="17"/>
    </row>
    <row r="967">
      <c r="B967" s="17"/>
    </row>
    <row r="968">
      <c r="B968" s="17"/>
    </row>
    <row r="969">
      <c r="B969" s="17"/>
    </row>
    <row r="970">
      <c r="B970" s="17"/>
    </row>
    <row r="971">
      <c r="B971" s="17"/>
    </row>
    <row r="972">
      <c r="B972" s="17"/>
    </row>
    <row r="973">
      <c r="B973" s="17"/>
    </row>
    <row r="974">
      <c r="B974" s="17"/>
    </row>
    <row r="975">
      <c r="B975" s="17"/>
    </row>
    <row r="976">
      <c r="B976" s="17"/>
    </row>
    <row r="977">
      <c r="B977" s="17"/>
    </row>
    <row r="978">
      <c r="B978" s="17"/>
    </row>
    <row r="979">
      <c r="B979" s="17"/>
    </row>
    <row r="980">
      <c r="B980" s="17"/>
    </row>
    <row r="981">
      <c r="B981" s="17"/>
    </row>
    <row r="982">
      <c r="B982" s="17"/>
    </row>
    <row r="983">
      <c r="B983" s="17"/>
    </row>
    <row r="984">
      <c r="B984" s="17"/>
    </row>
    <row r="985">
      <c r="B985" s="17"/>
    </row>
    <row r="986">
      <c r="B986" s="17"/>
    </row>
    <row r="987">
      <c r="B987" s="17"/>
    </row>
    <row r="988">
      <c r="B988" s="17"/>
    </row>
    <row r="989">
      <c r="B989" s="17"/>
    </row>
    <row r="990">
      <c r="B990" s="17"/>
    </row>
    <row r="991">
      <c r="B991" s="17"/>
    </row>
    <row r="992">
      <c r="B992" s="17"/>
    </row>
    <row r="993">
      <c r="B993" s="17"/>
    </row>
    <row r="994">
      <c r="B994" s="17"/>
    </row>
    <row r="995">
      <c r="B995" s="17"/>
    </row>
    <row r="996">
      <c r="B996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4.38"/>
    <col customWidth="1" min="3" max="3" width="16.38"/>
  </cols>
  <sheetData>
    <row r="1">
      <c r="A1" s="15" t="s">
        <v>11</v>
      </c>
      <c r="B1" s="17"/>
    </row>
    <row r="2">
      <c r="A2" s="15" t="s">
        <v>12</v>
      </c>
      <c r="B2" s="18" t="s">
        <v>13</v>
      </c>
    </row>
    <row r="3">
      <c r="A3" s="2" t="s">
        <v>14</v>
      </c>
      <c r="B3" s="19">
        <v>9.99</v>
      </c>
    </row>
    <row r="4">
      <c r="A4" s="2" t="s">
        <v>15</v>
      </c>
      <c r="B4" s="19">
        <v>11.95</v>
      </c>
    </row>
    <row r="5">
      <c r="A5" s="2" t="s">
        <v>16</v>
      </c>
      <c r="B5" s="19">
        <v>7.99</v>
      </c>
    </row>
    <row r="6">
      <c r="A6" s="2" t="s">
        <v>17</v>
      </c>
      <c r="B6" s="19">
        <v>9.89</v>
      </c>
    </row>
    <row r="7">
      <c r="A7" s="2" t="s">
        <v>18</v>
      </c>
      <c r="B7" s="19">
        <v>3.99</v>
      </c>
    </row>
    <row r="8">
      <c r="A8" s="2" t="s">
        <v>19</v>
      </c>
      <c r="B8" s="19">
        <v>7.19</v>
      </c>
    </row>
    <row r="9">
      <c r="A9" s="2" t="s">
        <v>20</v>
      </c>
      <c r="B9" s="19">
        <v>24.99</v>
      </c>
    </row>
    <row r="10">
      <c r="A10" s="2" t="s">
        <v>21</v>
      </c>
      <c r="B10" s="19">
        <v>24.5</v>
      </c>
    </row>
    <row r="11">
      <c r="A11" s="2" t="s">
        <v>22</v>
      </c>
      <c r="B11" s="19">
        <v>8.99</v>
      </c>
    </row>
    <row r="12">
      <c r="A12" s="2" t="s">
        <v>23</v>
      </c>
      <c r="B12" s="19">
        <v>11.59</v>
      </c>
    </row>
    <row r="13">
      <c r="A13" s="2" t="s">
        <v>24</v>
      </c>
      <c r="B13" s="19">
        <v>11.95</v>
      </c>
    </row>
    <row r="14">
      <c r="A14" s="2" t="s">
        <v>25</v>
      </c>
      <c r="B14" s="19">
        <v>28.14</v>
      </c>
    </row>
    <row r="15">
      <c r="A15" s="2" t="s">
        <v>26</v>
      </c>
      <c r="B15" s="19">
        <v>20.99</v>
      </c>
    </row>
    <row r="16">
      <c r="A16" s="2" t="s">
        <v>27</v>
      </c>
      <c r="B16" s="19">
        <v>19.99</v>
      </c>
    </row>
    <row r="17">
      <c r="A17" s="2" t="s">
        <v>28</v>
      </c>
      <c r="B17" s="19">
        <v>12.99</v>
      </c>
    </row>
    <row r="18">
      <c r="A18" s="2" t="s">
        <v>29</v>
      </c>
      <c r="B18" s="19">
        <v>14.49</v>
      </c>
    </row>
    <row r="19">
      <c r="B19" s="17"/>
    </row>
    <row r="20">
      <c r="A20" s="15" t="s">
        <v>30</v>
      </c>
      <c r="B20" s="18" t="s">
        <v>31</v>
      </c>
      <c r="C20" s="15" t="s">
        <v>32</v>
      </c>
    </row>
    <row r="21">
      <c r="A21" s="2" t="s">
        <v>14</v>
      </c>
      <c r="B21" s="20">
        <f t="shared" ref="B21:B27" si="1">VLOOKUP(A21, $A$3:$B$18, 2, 0)</f>
        <v>9.99</v>
      </c>
      <c r="C21" s="17">
        <f t="shared" ref="C21:C27" si="2">B21+(0.05*B21)</f>
        <v>10.4895</v>
      </c>
    </row>
    <row r="22">
      <c r="A22" s="2" t="s">
        <v>17</v>
      </c>
      <c r="B22" s="20">
        <f t="shared" si="1"/>
        <v>9.89</v>
      </c>
      <c r="C22" s="17">
        <f t="shared" si="2"/>
        <v>10.3845</v>
      </c>
    </row>
    <row r="23">
      <c r="A23" s="2" t="s">
        <v>21</v>
      </c>
      <c r="B23" s="20">
        <f t="shared" si="1"/>
        <v>24.5</v>
      </c>
      <c r="C23" s="17">
        <f t="shared" si="2"/>
        <v>25.725</v>
      </c>
    </row>
    <row r="24">
      <c r="A24" s="2" t="s">
        <v>22</v>
      </c>
      <c r="B24" s="20">
        <f t="shared" si="1"/>
        <v>8.99</v>
      </c>
      <c r="C24" s="17">
        <f t="shared" si="2"/>
        <v>9.4395</v>
      </c>
    </row>
    <row r="25">
      <c r="A25" s="2" t="s">
        <v>23</v>
      </c>
      <c r="B25" s="20">
        <f t="shared" si="1"/>
        <v>11.59</v>
      </c>
      <c r="C25" s="17">
        <f t="shared" si="2"/>
        <v>12.1695</v>
      </c>
    </row>
    <row r="26">
      <c r="A26" s="2" t="s">
        <v>25</v>
      </c>
      <c r="B26" s="20">
        <f t="shared" si="1"/>
        <v>28.14</v>
      </c>
      <c r="C26" s="17">
        <f t="shared" si="2"/>
        <v>29.547</v>
      </c>
    </row>
    <row r="27">
      <c r="A27" s="2" t="s">
        <v>29</v>
      </c>
      <c r="B27" s="20">
        <f t="shared" si="1"/>
        <v>14.49</v>
      </c>
      <c r="C27" s="17">
        <f t="shared" si="2"/>
        <v>15.2145</v>
      </c>
    </row>
    <row r="28">
      <c r="B28" s="17"/>
    </row>
    <row r="29">
      <c r="A29" s="15" t="s">
        <v>33</v>
      </c>
      <c r="B29" s="18" t="s">
        <v>31</v>
      </c>
      <c r="C29" s="15" t="s">
        <v>34</v>
      </c>
    </row>
    <row r="30">
      <c r="A30" s="2" t="s">
        <v>15</v>
      </c>
      <c r="B30" s="20">
        <f t="shared" ref="B30:B38" si="3">VLOOKUP(A30, $A$3:$B$18, 2, 0)</f>
        <v>11.95</v>
      </c>
      <c r="C30" s="17">
        <f t="shared" ref="C30:C38" si="4">B30+(0.1*B30)</f>
        <v>13.145</v>
      </c>
    </row>
    <row r="31">
      <c r="A31" s="2" t="s">
        <v>16</v>
      </c>
      <c r="B31" s="20">
        <f t="shared" si="3"/>
        <v>7.99</v>
      </c>
      <c r="C31" s="17">
        <f t="shared" si="4"/>
        <v>8.789</v>
      </c>
    </row>
    <row r="32">
      <c r="A32" s="2" t="s">
        <v>18</v>
      </c>
      <c r="B32" s="20">
        <f t="shared" si="3"/>
        <v>3.99</v>
      </c>
      <c r="C32" s="17">
        <f t="shared" si="4"/>
        <v>4.389</v>
      </c>
    </row>
    <row r="33">
      <c r="A33" s="2" t="s">
        <v>19</v>
      </c>
      <c r="B33" s="20">
        <f t="shared" si="3"/>
        <v>7.19</v>
      </c>
      <c r="C33" s="17">
        <f t="shared" si="4"/>
        <v>7.909</v>
      </c>
    </row>
    <row r="34">
      <c r="A34" s="2" t="s">
        <v>20</v>
      </c>
      <c r="B34" s="20">
        <f t="shared" si="3"/>
        <v>24.99</v>
      </c>
      <c r="C34" s="17">
        <f t="shared" si="4"/>
        <v>27.489</v>
      </c>
    </row>
    <row r="35">
      <c r="A35" s="2" t="s">
        <v>24</v>
      </c>
      <c r="B35" s="20">
        <f t="shared" si="3"/>
        <v>11.95</v>
      </c>
      <c r="C35" s="17">
        <f t="shared" si="4"/>
        <v>13.145</v>
      </c>
    </row>
    <row r="36">
      <c r="A36" s="2" t="s">
        <v>26</v>
      </c>
      <c r="B36" s="20">
        <f t="shared" si="3"/>
        <v>20.99</v>
      </c>
      <c r="C36" s="17">
        <f t="shared" si="4"/>
        <v>23.089</v>
      </c>
    </row>
    <row r="37">
      <c r="A37" s="2" t="s">
        <v>27</v>
      </c>
      <c r="B37" s="20">
        <f t="shared" si="3"/>
        <v>19.99</v>
      </c>
      <c r="C37" s="17">
        <f t="shared" si="4"/>
        <v>21.989</v>
      </c>
    </row>
    <row r="38">
      <c r="A38" s="2" t="s">
        <v>28</v>
      </c>
      <c r="B38" s="20">
        <f t="shared" si="3"/>
        <v>12.99</v>
      </c>
      <c r="C38" s="17">
        <f t="shared" si="4"/>
        <v>14.289</v>
      </c>
    </row>
    <row r="39">
      <c r="B39" s="17"/>
    </row>
    <row r="40">
      <c r="A40" s="15" t="s">
        <v>35</v>
      </c>
      <c r="B40" s="18" t="s">
        <v>31</v>
      </c>
      <c r="C40" s="15" t="s">
        <v>34</v>
      </c>
    </row>
    <row r="41">
      <c r="A41" s="10" t="s">
        <v>14</v>
      </c>
      <c r="B41" s="20">
        <f t="shared" ref="B41:B46" si="5">VLOOKUP(A41, $A$3:$B$18, 2, 0)</f>
        <v>9.99</v>
      </c>
      <c r="C41" s="17">
        <f t="shared" ref="C41:C46" si="6">B41+(0.1*B41)</f>
        <v>10.989</v>
      </c>
    </row>
    <row r="42">
      <c r="A42" s="10" t="s">
        <v>15</v>
      </c>
      <c r="B42" s="20">
        <f t="shared" si="5"/>
        <v>11.95</v>
      </c>
      <c r="C42" s="17">
        <f t="shared" si="6"/>
        <v>13.145</v>
      </c>
    </row>
    <row r="43">
      <c r="A43" s="10" t="s">
        <v>19</v>
      </c>
      <c r="B43" s="20">
        <f t="shared" si="5"/>
        <v>7.19</v>
      </c>
      <c r="C43" s="17">
        <f t="shared" si="6"/>
        <v>7.909</v>
      </c>
    </row>
    <row r="44">
      <c r="A44" s="10" t="s">
        <v>21</v>
      </c>
      <c r="B44" s="20">
        <f t="shared" si="5"/>
        <v>24.5</v>
      </c>
      <c r="C44" s="17">
        <f t="shared" si="6"/>
        <v>26.95</v>
      </c>
    </row>
    <row r="45">
      <c r="A45" s="10" t="s">
        <v>22</v>
      </c>
      <c r="B45" s="20">
        <f t="shared" si="5"/>
        <v>8.99</v>
      </c>
      <c r="C45" s="17">
        <f t="shared" si="6"/>
        <v>9.889</v>
      </c>
    </row>
    <row r="46">
      <c r="A46" s="10" t="s">
        <v>28</v>
      </c>
      <c r="B46" s="20">
        <f t="shared" si="5"/>
        <v>12.99</v>
      </c>
      <c r="C46" s="17">
        <f t="shared" si="6"/>
        <v>14.289</v>
      </c>
    </row>
    <row r="47">
      <c r="B47" s="17"/>
    </row>
    <row r="48">
      <c r="A48" s="15" t="s">
        <v>36</v>
      </c>
      <c r="B48" s="18" t="s">
        <v>31</v>
      </c>
      <c r="C48" s="15" t="s">
        <v>32</v>
      </c>
    </row>
    <row r="49">
      <c r="A49" s="2" t="s">
        <v>14</v>
      </c>
      <c r="B49" s="20">
        <f t="shared" ref="B49:B64" si="7">VLOOKUP(A49, $A$3:$B$18, 2, 0)</f>
        <v>9.99</v>
      </c>
      <c r="C49" s="17">
        <f t="shared" ref="C49:C64" si="8">B49+(0.05*B49)</f>
        <v>10.4895</v>
      </c>
    </row>
    <row r="50">
      <c r="A50" s="2" t="s">
        <v>15</v>
      </c>
      <c r="B50" s="20">
        <f t="shared" si="7"/>
        <v>11.95</v>
      </c>
      <c r="C50" s="17">
        <f t="shared" si="8"/>
        <v>12.5475</v>
      </c>
    </row>
    <row r="51">
      <c r="A51" s="2" t="s">
        <v>16</v>
      </c>
      <c r="B51" s="20">
        <f t="shared" si="7"/>
        <v>7.99</v>
      </c>
      <c r="C51" s="17">
        <f t="shared" si="8"/>
        <v>8.3895</v>
      </c>
    </row>
    <row r="52">
      <c r="A52" s="2" t="s">
        <v>17</v>
      </c>
      <c r="B52" s="20">
        <f t="shared" si="7"/>
        <v>9.89</v>
      </c>
      <c r="C52" s="17">
        <f t="shared" si="8"/>
        <v>10.3845</v>
      </c>
    </row>
    <row r="53">
      <c r="A53" s="2" t="s">
        <v>18</v>
      </c>
      <c r="B53" s="20">
        <f t="shared" si="7"/>
        <v>3.99</v>
      </c>
      <c r="C53" s="17">
        <f t="shared" si="8"/>
        <v>4.1895</v>
      </c>
    </row>
    <row r="54">
      <c r="A54" s="2" t="s">
        <v>19</v>
      </c>
      <c r="B54" s="20">
        <f t="shared" si="7"/>
        <v>7.19</v>
      </c>
      <c r="C54" s="17">
        <f t="shared" si="8"/>
        <v>7.5495</v>
      </c>
    </row>
    <row r="55">
      <c r="A55" s="2" t="s">
        <v>20</v>
      </c>
      <c r="B55" s="20">
        <f t="shared" si="7"/>
        <v>24.99</v>
      </c>
      <c r="C55" s="17">
        <f t="shared" si="8"/>
        <v>26.2395</v>
      </c>
    </row>
    <row r="56">
      <c r="A56" s="2" t="s">
        <v>21</v>
      </c>
      <c r="B56" s="20">
        <f t="shared" si="7"/>
        <v>24.5</v>
      </c>
      <c r="C56" s="17">
        <f t="shared" si="8"/>
        <v>25.725</v>
      </c>
    </row>
    <row r="57">
      <c r="A57" s="2" t="s">
        <v>22</v>
      </c>
      <c r="B57" s="20">
        <f t="shared" si="7"/>
        <v>8.99</v>
      </c>
      <c r="C57" s="17">
        <f t="shared" si="8"/>
        <v>9.4395</v>
      </c>
    </row>
    <row r="58">
      <c r="A58" s="2" t="s">
        <v>23</v>
      </c>
      <c r="B58" s="20">
        <f t="shared" si="7"/>
        <v>11.59</v>
      </c>
      <c r="C58" s="17">
        <f t="shared" si="8"/>
        <v>12.1695</v>
      </c>
    </row>
    <row r="59">
      <c r="A59" s="2" t="s">
        <v>24</v>
      </c>
      <c r="B59" s="20">
        <f t="shared" si="7"/>
        <v>11.95</v>
      </c>
      <c r="C59" s="17">
        <f t="shared" si="8"/>
        <v>12.5475</v>
      </c>
    </row>
    <row r="60">
      <c r="A60" s="2" t="s">
        <v>25</v>
      </c>
      <c r="B60" s="20">
        <f t="shared" si="7"/>
        <v>28.14</v>
      </c>
      <c r="C60" s="17">
        <f t="shared" si="8"/>
        <v>29.547</v>
      </c>
    </row>
    <row r="61">
      <c r="A61" s="2" t="s">
        <v>26</v>
      </c>
      <c r="B61" s="20">
        <f t="shared" si="7"/>
        <v>20.99</v>
      </c>
      <c r="C61" s="17">
        <f t="shared" si="8"/>
        <v>22.0395</v>
      </c>
    </row>
    <row r="62">
      <c r="A62" s="2" t="s">
        <v>27</v>
      </c>
      <c r="B62" s="20">
        <f t="shared" si="7"/>
        <v>19.99</v>
      </c>
      <c r="C62" s="17">
        <f t="shared" si="8"/>
        <v>20.9895</v>
      </c>
    </row>
    <row r="63">
      <c r="A63" s="2" t="s">
        <v>28</v>
      </c>
      <c r="B63" s="20">
        <f t="shared" si="7"/>
        <v>12.99</v>
      </c>
      <c r="C63" s="17">
        <f t="shared" si="8"/>
        <v>13.6395</v>
      </c>
    </row>
    <row r="64">
      <c r="A64" s="2" t="s">
        <v>29</v>
      </c>
      <c r="B64" s="20">
        <f t="shared" si="7"/>
        <v>14.49</v>
      </c>
      <c r="C64" s="17">
        <f t="shared" si="8"/>
        <v>15.2145</v>
      </c>
    </row>
    <row r="65">
      <c r="B65" s="17"/>
    </row>
    <row r="66">
      <c r="B66" s="17"/>
    </row>
    <row r="67">
      <c r="B67" s="17"/>
    </row>
    <row r="68">
      <c r="B68" s="17"/>
    </row>
    <row r="69">
      <c r="B69" s="17"/>
    </row>
    <row r="70">
      <c r="B70" s="17"/>
    </row>
    <row r="71">
      <c r="B71" s="17"/>
    </row>
    <row r="72">
      <c r="B72" s="17"/>
    </row>
    <row r="73">
      <c r="B73" s="17"/>
    </row>
    <row r="74">
      <c r="B74" s="17"/>
    </row>
    <row r="75">
      <c r="B75" s="17"/>
    </row>
    <row r="76">
      <c r="B76" s="17"/>
    </row>
    <row r="77">
      <c r="B77" s="17"/>
    </row>
    <row r="78">
      <c r="B78" s="17"/>
    </row>
    <row r="79">
      <c r="B79" s="17"/>
    </row>
    <row r="80">
      <c r="B80" s="17"/>
    </row>
    <row r="81">
      <c r="B81" s="17"/>
    </row>
    <row r="82">
      <c r="B82" s="17"/>
    </row>
    <row r="83">
      <c r="B83" s="17"/>
    </row>
    <row r="84">
      <c r="B84" s="17"/>
    </row>
    <row r="85">
      <c r="B85" s="17"/>
    </row>
    <row r="86">
      <c r="B86" s="17"/>
    </row>
    <row r="87">
      <c r="B87" s="17"/>
    </row>
    <row r="88">
      <c r="B88" s="17"/>
    </row>
    <row r="89">
      <c r="B89" s="17"/>
    </row>
    <row r="90">
      <c r="B90" s="17"/>
    </row>
    <row r="91">
      <c r="B91" s="17"/>
    </row>
    <row r="92">
      <c r="B92" s="17"/>
    </row>
    <row r="93">
      <c r="B93" s="17"/>
    </row>
    <row r="94">
      <c r="B94" s="17"/>
    </row>
    <row r="95">
      <c r="B95" s="17"/>
    </row>
    <row r="96">
      <c r="B96" s="17"/>
    </row>
    <row r="97">
      <c r="B97" s="17"/>
    </row>
    <row r="98">
      <c r="B98" s="17"/>
    </row>
    <row r="99">
      <c r="B99" s="17"/>
    </row>
    <row r="100">
      <c r="B100" s="17"/>
    </row>
    <row r="101">
      <c r="B101" s="17"/>
    </row>
    <row r="102">
      <c r="B102" s="17"/>
    </row>
    <row r="103">
      <c r="B103" s="17"/>
    </row>
    <row r="104">
      <c r="B104" s="17"/>
    </row>
    <row r="105">
      <c r="B105" s="17"/>
    </row>
    <row r="106">
      <c r="B106" s="17"/>
    </row>
    <row r="107">
      <c r="B107" s="17"/>
    </row>
    <row r="108">
      <c r="B108" s="17"/>
    </row>
    <row r="109">
      <c r="B109" s="17"/>
    </row>
    <row r="110">
      <c r="B110" s="17"/>
    </row>
    <row r="111">
      <c r="B111" s="17"/>
    </row>
    <row r="112">
      <c r="B112" s="17"/>
    </row>
    <row r="113">
      <c r="B113" s="17"/>
    </row>
    <row r="114">
      <c r="B114" s="17"/>
    </row>
    <row r="115">
      <c r="B115" s="17"/>
    </row>
    <row r="116">
      <c r="B116" s="17"/>
    </row>
    <row r="117">
      <c r="B117" s="17"/>
    </row>
    <row r="118">
      <c r="B118" s="17"/>
    </row>
    <row r="119"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7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  <row r="940">
      <c r="B940" s="17"/>
    </row>
    <row r="941">
      <c r="B941" s="17"/>
    </row>
    <row r="942">
      <c r="B942" s="17"/>
    </row>
    <row r="943">
      <c r="B943" s="17"/>
    </row>
    <row r="944">
      <c r="B944" s="17"/>
    </row>
    <row r="945">
      <c r="B945" s="17"/>
    </row>
    <row r="946">
      <c r="B946" s="17"/>
    </row>
    <row r="947">
      <c r="B947" s="17"/>
    </row>
    <row r="948">
      <c r="B948" s="17"/>
    </row>
    <row r="949">
      <c r="B949" s="17"/>
    </row>
    <row r="950">
      <c r="B950" s="17"/>
    </row>
    <row r="951">
      <c r="B951" s="17"/>
    </row>
    <row r="952">
      <c r="B952" s="17"/>
    </row>
    <row r="953">
      <c r="B953" s="17"/>
    </row>
    <row r="954">
      <c r="B954" s="17"/>
    </row>
    <row r="955">
      <c r="B955" s="17"/>
    </row>
    <row r="956">
      <c r="B956" s="17"/>
    </row>
    <row r="957">
      <c r="B957" s="17"/>
    </row>
    <row r="958">
      <c r="B958" s="17"/>
    </row>
    <row r="959">
      <c r="B959" s="17"/>
    </row>
    <row r="960">
      <c r="B960" s="17"/>
    </row>
    <row r="961">
      <c r="B961" s="17"/>
    </row>
    <row r="962">
      <c r="B962" s="17"/>
    </row>
    <row r="963">
      <c r="B963" s="17"/>
    </row>
    <row r="964">
      <c r="B964" s="17"/>
    </row>
    <row r="965">
      <c r="B965" s="17"/>
    </row>
    <row r="966">
      <c r="B966" s="17"/>
    </row>
    <row r="967">
      <c r="B967" s="17"/>
    </row>
    <row r="968">
      <c r="B968" s="17"/>
    </row>
    <row r="969">
      <c r="B969" s="17"/>
    </row>
    <row r="970">
      <c r="B970" s="17"/>
    </row>
    <row r="971">
      <c r="B971" s="17"/>
    </row>
    <row r="972">
      <c r="B972" s="17"/>
    </row>
    <row r="973">
      <c r="B973" s="17"/>
    </row>
    <row r="974">
      <c r="B974" s="17"/>
    </row>
    <row r="975">
      <c r="B975" s="17"/>
    </row>
    <row r="976">
      <c r="B976" s="17"/>
    </row>
    <row r="977">
      <c r="B977" s="17"/>
    </row>
    <row r="978">
      <c r="B978" s="17"/>
    </row>
    <row r="979">
      <c r="B979" s="17"/>
    </row>
    <row r="980">
      <c r="B980" s="17"/>
    </row>
    <row r="981">
      <c r="B981" s="17"/>
    </row>
    <row r="982">
      <c r="B982" s="17"/>
    </row>
    <row r="983">
      <c r="B983" s="17"/>
    </row>
    <row r="984">
      <c r="B984" s="17"/>
    </row>
    <row r="985">
      <c r="B985" s="17"/>
    </row>
    <row r="986">
      <c r="B986" s="17"/>
    </row>
    <row r="987">
      <c r="B987" s="17"/>
    </row>
    <row r="988">
      <c r="B988" s="17"/>
    </row>
    <row r="989">
      <c r="B989" s="17"/>
    </row>
    <row r="990">
      <c r="B990" s="17"/>
    </row>
    <row r="991">
      <c r="B991" s="17"/>
    </row>
    <row r="992">
      <c r="B992" s="17"/>
    </row>
    <row r="993">
      <c r="B993" s="17"/>
    </row>
    <row r="994">
      <c r="B994" s="17"/>
    </row>
    <row r="995">
      <c r="B995" s="17"/>
    </row>
    <row r="996">
      <c r="B996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4" max="4" width="17.13"/>
  </cols>
  <sheetData>
    <row r="1">
      <c r="A1" s="15" t="s">
        <v>38</v>
      </c>
      <c r="B1" s="15" t="s">
        <v>39</v>
      </c>
      <c r="C1" s="15" t="s">
        <v>40</v>
      </c>
      <c r="D1" s="15" t="s">
        <v>41</v>
      </c>
    </row>
    <row r="2">
      <c r="A2" s="2" t="s">
        <v>42</v>
      </c>
      <c r="B2" s="22">
        <v>42037.0</v>
      </c>
      <c r="C2" s="22">
        <v>42154.0</v>
      </c>
      <c r="D2" s="21">
        <f t="shared" ref="D2:D5" si="1">DATEDIF(B2, C2, "M")</f>
        <v>3</v>
      </c>
    </row>
    <row r="3">
      <c r="A3" s="2" t="s">
        <v>43</v>
      </c>
      <c r="B3" s="22">
        <v>42156.0</v>
      </c>
      <c r="C3" s="22">
        <v>42447.0</v>
      </c>
      <c r="D3" s="21">
        <f t="shared" si="1"/>
        <v>9</v>
      </c>
    </row>
    <row r="4">
      <c r="A4" s="2" t="s">
        <v>44</v>
      </c>
      <c r="B4" s="22">
        <v>42371.0</v>
      </c>
      <c r="C4" s="22">
        <v>42488.0</v>
      </c>
      <c r="D4" s="21">
        <f t="shared" si="1"/>
        <v>3</v>
      </c>
    </row>
    <row r="5">
      <c r="A5" s="2" t="s">
        <v>45</v>
      </c>
      <c r="B5" s="22">
        <v>42156.0</v>
      </c>
      <c r="C5" s="22">
        <v>42600.0</v>
      </c>
      <c r="D5" s="21">
        <f t="shared" si="1"/>
        <v>14</v>
      </c>
    </row>
    <row r="6">
      <c r="A6" s="2" t="s">
        <v>46</v>
      </c>
      <c r="B6" s="22">
        <v>42614.0</v>
      </c>
      <c r="C6" s="22">
        <v>42328.0</v>
      </c>
      <c r="D6" s="21">
        <f>DATEDIF(C6, B6, "M")</f>
        <v>9</v>
      </c>
    </row>
    <row r="7">
      <c r="A7" s="2" t="s">
        <v>47</v>
      </c>
      <c r="B7" s="22">
        <v>42614.0</v>
      </c>
      <c r="C7" s="22">
        <v>42749.0</v>
      </c>
      <c r="D7" s="21">
        <f t="shared" ref="D7:D12" si="2">DATEDIF(B7, C7, "M")</f>
        <v>4</v>
      </c>
    </row>
    <row r="8">
      <c r="A8" s="2" t="s">
        <v>48</v>
      </c>
      <c r="B8" s="22">
        <v>42614.0</v>
      </c>
      <c r="C8" s="22">
        <v>42860.0</v>
      </c>
      <c r="D8" s="21">
        <f t="shared" si="2"/>
        <v>8</v>
      </c>
    </row>
    <row r="9">
      <c r="A9" s="2" t="s">
        <v>49</v>
      </c>
      <c r="B9" s="22">
        <v>42614.0</v>
      </c>
      <c r="C9" s="22">
        <v>43039.0</v>
      </c>
      <c r="D9" s="21">
        <f t="shared" si="2"/>
        <v>13</v>
      </c>
    </row>
    <row r="10">
      <c r="A10" s="2" t="s">
        <v>50</v>
      </c>
      <c r="B10" s="22">
        <v>43040.0</v>
      </c>
      <c r="C10" s="22">
        <v>43071.0</v>
      </c>
      <c r="D10" s="21">
        <f t="shared" si="2"/>
        <v>1</v>
      </c>
    </row>
    <row r="11">
      <c r="A11" s="2" t="s">
        <v>51</v>
      </c>
      <c r="B11" s="22">
        <v>43071.0</v>
      </c>
      <c r="C11" s="22">
        <v>43710.0</v>
      </c>
      <c r="D11" s="21">
        <f t="shared" si="2"/>
        <v>21</v>
      </c>
    </row>
    <row r="12">
      <c r="A12" s="2" t="s">
        <v>52</v>
      </c>
      <c r="B12" s="22">
        <v>43739.0</v>
      </c>
      <c r="C12" s="22">
        <v>43952.0</v>
      </c>
      <c r="D12" s="21">
        <f t="shared" si="2"/>
        <v>7</v>
      </c>
    </row>
    <row r="13">
      <c r="A13" s="2" t="s">
        <v>53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4" max="4" width="17.5"/>
  </cols>
  <sheetData>
    <row r="1">
      <c r="A1" s="15" t="s">
        <v>38</v>
      </c>
      <c r="B1" s="15" t="s">
        <v>39</v>
      </c>
      <c r="C1" s="15" t="s">
        <v>40</v>
      </c>
      <c r="D1" s="15" t="s">
        <v>41</v>
      </c>
    </row>
    <row r="2">
      <c r="A2" s="2" t="s">
        <v>42</v>
      </c>
      <c r="B2" s="22">
        <v>42037.0</v>
      </c>
      <c r="C2" s="22">
        <v>42154.0</v>
      </c>
      <c r="D2" s="21">
        <f t="shared" ref="D2:D12" si="1">DATEDIF(B2, C2, "M")</f>
        <v>3</v>
      </c>
    </row>
    <row r="3">
      <c r="A3" s="2" t="s">
        <v>43</v>
      </c>
      <c r="B3" s="22">
        <v>42156.0</v>
      </c>
      <c r="C3" s="22">
        <v>42447.0</v>
      </c>
      <c r="D3" s="21">
        <f t="shared" si="1"/>
        <v>9</v>
      </c>
    </row>
    <row r="4">
      <c r="A4" s="2" t="s">
        <v>44</v>
      </c>
      <c r="B4" s="22">
        <v>42371.0</v>
      </c>
      <c r="C4" s="22">
        <v>42488.0</v>
      </c>
      <c r="D4" s="21">
        <f t="shared" si="1"/>
        <v>3</v>
      </c>
    </row>
    <row r="5">
      <c r="A5" s="2" t="s">
        <v>45</v>
      </c>
      <c r="B5" s="22">
        <v>42156.0</v>
      </c>
      <c r="C5" s="22">
        <v>42600.0</v>
      </c>
      <c r="D5" s="21">
        <f t="shared" si="1"/>
        <v>14</v>
      </c>
    </row>
    <row r="6">
      <c r="A6" s="2" t="s">
        <v>46</v>
      </c>
      <c r="B6" s="23">
        <v>42614.0</v>
      </c>
      <c r="C6" s="23">
        <v>42694.0</v>
      </c>
      <c r="D6" s="21">
        <f t="shared" si="1"/>
        <v>2</v>
      </c>
    </row>
    <row r="7">
      <c r="A7" s="2" t="s">
        <v>47</v>
      </c>
      <c r="B7" s="22">
        <v>42614.0</v>
      </c>
      <c r="C7" s="22">
        <v>42749.0</v>
      </c>
      <c r="D7" s="21">
        <f t="shared" si="1"/>
        <v>4</v>
      </c>
    </row>
    <row r="8">
      <c r="A8" s="2" t="s">
        <v>48</v>
      </c>
      <c r="B8" s="22">
        <v>42614.0</v>
      </c>
      <c r="C8" s="22">
        <v>42860.0</v>
      </c>
      <c r="D8" s="21">
        <f t="shared" si="1"/>
        <v>8</v>
      </c>
    </row>
    <row r="9">
      <c r="A9" s="2" t="s">
        <v>49</v>
      </c>
      <c r="B9" s="22">
        <v>42614.0</v>
      </c>
      <c r="C9" s="22">
        <v>43039.0</v>
      </c>
      <c r="D9" s="21">
        <f t="shared" si="1"/>
        <v>13</v>
      </c>
    </row>
    <row r="10">
      <c r="A10" s="2" t="s">
        <v>50</v>
      </c>
      <c r="B10" s="22">
        <v>43040.0</v>
      </c>
      <c r="C10" s="22">
        <v>43071.0</v>
      </c>
      <c r="D10" s="21">
        <f t="shared" si="1"/>
        <v>1</v>
      </c>
    </row>
    <row r="11">
      <c r="A11" s="2" t="s">
        <v>51</v>
      </c>
      <c r="B11" s="22">
        <v>43071.0</v>
      </c>
      <c r="C11" s="22">
        <v>43710.0</v>
      </c>
      <c r="D11" s="21">
        <f t="shared" si="1"/>
        <v>21</v>
      </c>
    </row>
    <row r="12">
      <c r="A12" s="2" t="s">
        <v>52</v>
      </c>
      <c r="B12" s="22">
        <v>43739.0</v>
      </c>
      <c r="C12" s="22">
        <v>43952.0</v>
      </c>
      <c r="D12" s="21">
        <f t="shared" si="1"/>
        <v>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54</v>
      </c>
      <c r="B1" s="15" t="s">
        <v>55</v>
      </c>
    </row>
    <row r="2">
      <c r="A2" s="2" t="s">
        <v>56</v>
      </c>
      <c r="B2" s="2">
        <v>5.0</v>
      </c>
    </row>
    <row r="3">
      <c r="A3" s="2" t="s">
        <v>57</v>
      </c>
      <c r="B3" s="2">
        <v>17.0</v>
      </c>
    </row>
    <row r="4">
      <c r="A4" s="15" t="s">
        <v>58</v>
      </c>
      <c r="B4" s="21" t="str">
        <f>B2+B3+#REF!</f>
        <v>#REF!</v>
      </c>
    </row>
    <row r="7">
      <c r="A7" s="15" t="s">
        <v>54</v>
      </c>
      <c r="B7" s="15" t="s">
        <v>55</v>
      </c>
    </row>
    <row r="8">
      <c r="A8" s="2" t="s">
        <v>56</v>
      </c>
      <c r="B8" s="2">
        <v>5.0</v>
      </c>
    </row>
    <row r="9">
      <c r="A9" s="2" t="s">
        <v>57</v>
      </c>
      <c r="B9" s="2">
        <v>17.0</v>
      </c>
    </row>
    <row r="10">
      <c r="A10" s="15" t="s">
        <v>58</v>
      </c>
      <c r="B10" s="21">
        <f>SUM(B8:B9)</f>
        <v>22</v>
      </c>
    </row>
  </sheetData>
  <conditionalFormatting sqref="A1:Z998">
    <cfRule type="expression" dxfId="0" priority="1">
      <formula>ISERROR(A1)</formula>
    </cfRule>
  </conditionalFormatting>
  <drawing r:id="rId1"/>
</worksheet>
</file>